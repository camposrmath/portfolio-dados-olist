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Vendas Mensais" sheetId="2" state="visible" r:id="rId4"/>
    <sheet name="Top 10 Categorias" sheetId="3" state="visible" r:id="rId5"/>
    <sheet name="Formas de Pagamento" sheetId="4" state="visible" r:id="rId6"/>
    <sheet name="Por Estad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<sst xmlns="http://schemas.openxmlformats.org/spreadsheetml/2006/main" count="93" uniqueCount="87">
  <si>
    <t xml:space="preserve">Olist E-commerce  |  Dashboard Executivo de KPIs</t>
  </si>
  <si>
    <t xml:space="preserve">Total de Pedidos</t>
  </si>
  <si>
    <t xml:space="preserve">Clientes Únicos</t>
  </si>
  <si>
    <t xml:space="preserve">Faturamento Total</t>
  </si>
  <si>
    <t xml:space="preserve">Ticket Médio</t>
  </si>
  <si>
    <t xml:space="preserve">Top Categorias</t>
  </si>
  <si>
    <t xml:space="preserve">* Dados referentes a pedidos com status "entregue". Período: 2017–2018.</t>
  </si>
  <si>
    <t xml:space="preserve">Evolução Mensal de Vendas (2017–2018)</t>
  </si>
  <si>
    <t xml:space="preserve">Mes</t>
  </si>
  <si>
    <t xml:space="preserve">Pedidos</t>
  </si>
  <si>
    <t xml:space="preserve">Clientes</t>
  </si>
  <si>
    <t xml:space="preserve">Receita_R$</t>
  </si>
  <si>
    <t xml:space="preserve">Ticket_Medio_R$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</si>
  <si>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</si>
  <si>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</si>
  <si>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</si>
  <si>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</si>
  <si>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</si>
  <si>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</si>
  <si>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</si>
  <si>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</si>
  <si>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</si>
  <si>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</si>
  <si>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</si>
  <si>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</si>
  <si>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</si>
  <si>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</si>
  <si>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</si>
  <si>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</si>
  <si>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</si>
  <si>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</si>
  <si>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</si>
  <si>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</si>
  <si>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TOTAL</t>
  </si>
  <si>
    <t xml:space="preserve">Top 10 Categorias por Receita</t>
  </si>
  <si>
    <t xml:space="preserve">Categoria</t>
  </si>
  <si>
    <t xml:space="preserve">Preco_Medio_R$</t>
  </si>
  <si>
    <t xml:space="preserve">Nota_Media</t>
  </si>
  <si>
    <t xml:space="preserve">health_beauty</t>
  </si>
  <si>
    <t xml:space="preserve">watches_gifts</t>
  </si>
  <si>
    <t xml:space="preserve">bed_bath_table</t>
  </si>
  <si>
    <t xml:space="preserve">sports_leisure</t>
  </si>
  <si>
    <t xml:space="preserve">computers_accessories</t>
  </si>
  <si>
    <t xml:space="preserve">furniture_decor</t>
  </si>
  <si>
    <t xml:space="preserve">housewares</t>
  </si>
  <si>
    <t xml:space="preserve">cool_stuff</t>
  </si>
  <si>
    <t xml:space="preserve">auto</t>
  </si>
  <si>
    <t xml:space="preserve">toys</t>
  </si>
  <si>
    <t xml:space="preserve">Formas de Pagamento</t>
  </si>
  <si>
    <t xml:space="preserve">Forma_Pagamento</t>
  </si>
  <si>
    <t xml:space="preserve">Transacoes</t>
  </si>
  <si>
    <t xml:space="preserve">Volume_R$</t>
  </si>
  <si>
    <t xml:space="preserve">Media_Parcelas</t>
  </si>
  <si>
    <t xml:space="preserve">credit_card</t>
  </si>
  <si>
    <t xml:space="preserve">boleto</t>
  </si>
  <si>
    <t xml:space="preserve">voucher</t>
  </si>
  <si>
    <t xml:space="preserve">debit_card</t>
  </si>
  <si>
    <t xml:space="preserve">not_defined</t>
  </si>
  <si>
    <t xml:space="preserve">Performance por Estado (UF)</t>
  </si>
  <si>
    <t xml:space="preserve">Estado</t>
  </si>
  <si>
    <t xml:space="preserve">SP</t>
  </si>
  <si>
    <t xml:space="preserve">RJ</t>
  </si>
  <si>
    <t xml:space="preserve">MG</t>
  </si>
  <si>
    <t xml:space="preserve">RS</t>
  </si>
  <si>
    <t xml:space="preserve">PR</t>
  </si>
  <si>
    <t xml:space="preserve">SC</t>
  </si>
  <si>
    <t xml:space="preserve">BA</t>
  </si>
  <si>
    <t xml:space="preserve">DF</t>
  </si>
  <si>
    <t xml:space="preserve">ES</t>
  </si>
  <si>
    <t xml:space="preserve">GO</t>
  </si>
  <si>
    <t xml:space="preserve">PE</t>
  </si>
  <si>
    <t xml:space="preserve">CE</t>
  </si>
  <si>
    <t xml:space="preserve">PA</t>
  </si>
  <si>
    <t xml:space="preserve">MT</t>
  </si>
  <si>
    <t xml:space="preserve">MA</t>
  </si>
  <si>
    <t xml:space="preserve">MS</t>
  </si>
  <si>
    <t xml:space="preserve">PB</t>
  </si>
  <si>
    <t xml:space="preserve">PI</t>
  </si>
  <si>
    <t xml:space="preserve">RN</t>
  </si>
  <si>
    <t xml:space="preserve">AL</t>
  </si>
  <si>
    <t xml:space="preserve">SE</t>
  </si>
  <si>
    <t xml:space="preserve">TO</t>
  </si>
  <si>
    <t xml:space="preserve">RO</t>
  </si>
  <si>
    <t xml:space="preserve">AM</t>
  </si>
  <si>
    <t xml:space="preserve">AC</t>
  </si>
  <si>
    <t xml:space="preserve">AP</t>
  </si>
  <si>
    <t xml:space="preserve">RR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</si>
</sst>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R$ &quot;#,##0.00"/>
    <numFmt numFmtId="16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3566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3566"/>
        <bgColor rgb="FF1F4E79"/>
      </patternFill>
    </fill>
    <fill>
      <patternFill patternType="solid">
        <fgColor rgb="FF1F4E79"/>
        <bgColor rgb="FF003566"/>
      </patternFill>
    </fill>
    <fill>
      <patternFill patternType="solid">
        <fgColor rgb="FFDEEAF1"/>
        <bgColor rgb="FFD9D9D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08080"/>
      <rgbColor rgb="FF9999FF"/>
      <rgbColor rgb="FFC0504D"/>
      <rgbColor rgb="FFF9F9F9"/>
      <rgbColor rgb="FFDEEA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003566"/>
      <rgbColor rgb="FF4A7EB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Mensal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'Vendas Mensais'!D2</c:f>
              <c:strCache>
                <c:ptCount val="1"/>
                <c:pt idx="0">
                  <c:v>Receita_R$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'Vendas Mensais'!$A$3:$A$22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'Vendas Mensais'!$D$3:$D$22</c:f>
              <c:numCache>
                <c:formatCode>#,##0.00</c:formatCode>
                <c:ptCount val="20"/>
                <c:pt idx="0">
                  <c:v>127545.67</c:v>
                </c:pt>
                <c:pt idx="1">
                  <c:v>271298.65</c:v>
                </c:pt>
                <c:pt idx="2">
                  <c:v>414369.39</c:v>
                </c:pt>
                <c:pt idx="3">
                  <c:v>390952.18</c:v>
                </c:pt>
                <c:pt idx="4">
                  <c:v>567066.73</c:v>
                </c:pt>
                <c:pt idx="5">
                  <c:v>490225.6</c:v>
                </c:pt>
                <c:pt idx="6">
                  <c:v>566403.93</c:v>
                </c:pt>
                <c:pt idx="7">
                  <c:v>646000.61</c:v>
                </c:pt>
                <c:pt idx="8">
                  <c:v>701169.99</c:v>
                </c:pt>
                <c:pt idx="9">
                  <c:v>751140.27</c:v>
                </c:pt>
                <c:pt idx="10">
                  <c:v>1153528.05</c:v>
                </c:pt>
                <c:pt idx="11">
                  <c:v>843199.17</c:v>
                </c:pt>
                <c:pt idx="12">
                  <c:v>1078606.86</c:v>
                </c:pt>
                <c:pt idx="13">
                  <c:v>966510.88</c:v>
                </c:pt>
                <c:pt idx="14">
                  <c:v>1120678</c:v>
                </c:pt>
                <c:pt idx="15">
                  <c:v>1132933.95</c:v>
                </c:pt>
                <c:pt idx="16">
                  <c:v>1128836.69</c:v>
                </c:pt>
                <c:pt idx="17">
                  <c:v>1012090.68</c:v>
                </c:pt>
                <c:pt idx="18">
                  <c:v>1027903.86</c:v>
                </c:pt>
                <c:pt idx="19">
                  <c:v>985414.28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063235"/>
        <c:axId val="98216526"/>
      </c:lineChart>
      <c:catAx>
        <c:axId val="200632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16526"/>
        <c:crosses val="autoZero"/>
        <c:auto val="1"/>
        <c:lblAlgn val="ctr"/>
        <c:lblOffset val="100"/>
        <c:noMultiLvlLbl val="0"/>
      </c:catAx>
      <c:valAx>
        <c:axId val="98216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632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Categoria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10 Categorias'!C2</c:f>
              <c:strCache>
                <c:ptCount val="1"/>
                <c:pt idx="0">
                  <c:v>Receita_R$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10 Categorias'!$A$3:$A$12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'Top 10 Categorias'!$C$3:$C$12</c:f>
              <c:numCache>
                <c:formatCode>#,##0.00</c:formatCode>
                <c:ptCount val="10"/>
                <c:pt idx="0">
                  <c:v>1237538.95</c:v>
                </c:pt>
                <c:pt idx="1">
                  <c:v>1167246.63</c:v>
                </c:pt>
                <c:pt idx="2">
                  <c:v>1037326.58</c:v>
                </c:pt>
                <c:pt idx="3">
                  <c:v>960217.09</c:v>
                </c:pt>
                <c:pt idx="4">
                  <c:v>896324.18</c:v>
                </c:pt>
                <c:pt idx="5">
                  <c:v>718744.77</c:v>
                </c:pt>
                <c:pt idx="6">
                  <c:v>617836.73</c:v>
                </c:pt>
                <c:pt idx="7">
                  <c:v>612071.86</c:v>
                </c:pt>
                <c:pt idx="8">
                  <c:v>580263.44</c:v>
                </c:pt>
                <c:pt idx="9">
                  <c:v>472109.78</c:v>
                </c:pt>
              </c:numCache>
            </c:numRef>
          </c:val>
        </c:ser>
        <c:gapWidth val="150"/>
        <c:overlap val="0"/>
        <c:axId val="79423889"/>
        <c:axId val="18645130"/>
      </c:barChart>
      <c:catAx>
        <c:axId val="79423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45130"/>
        <c:crosses val="autoZero"/>
        <c:auto val="1"/>
        <c:lblAlgn val="ctr"/>
        <c:lblOffset val="100"/>
        <c:noMultiLvlLbl val="0"/>
      </c:catAx>
      <c:valAx>
        <c:axId val="18645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23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Transações por Forma de Pagamento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'Formas de Pagamento'!B2</c:f>
              <c:strCache>
                <c:ptCount val="1"/>
                <c:pt idx="0">
                  <c:v>Transacoes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'Formas de Pagamento'!$A$3:$A$7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'Formas de Pagamento'!$B$3:$B$7</c:f>
              <c:numCache>
                <c:formatCode>#,##0.00</c:formatCode>
                <c:ptCount val="5"/>
                <c:pt idx="0">
                  <c:v>76505</c:v>
                </c:pt>
                <c:pt idx="1">
                  <c:v>19784</c:v>
                </c:pt>
                <c:pt idx="2">
                  <c:v>3866</c:v>
                </c:pt>
                <c:pt idx="3">
                  <c:v>1528</c:v>
                </c:pt>
                <c:pt idx="4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20</xdr:col>
      <xdr:colOff>78840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6673320" y="3808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20</xdr:col>
      <xdr:colOff>78480</xdr:colOff>
      <xdr:row>31</xdr:row>
      <xdr:rowOff>44640</xdr:rowOff>
    </xdr:to>
    <xdr:graphicFrame>
      <xdr:nvGraphicFramePr>
        <xdr:cNvPr id="1" name="Chart 1"/>
        <xdr:cNvGraphicFramePr/>
      </xdr:nvGraphicFramePr>
      <xdr:xfrm>
        <a:off x="7237080" y="38088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27</xdr:row>
      <xdr:rowOff>86400</xdr:rowOff>
    </xdr:to>
    <xdr:graphicFrame>
      <xdr:nvGraphicFramePr>
        <xdr:cNvPr id="2" name="Chart 1"/>
        <xdr:cNvGraphicFramePr/>
      </xdr:nvGraphicFramePr>
      <xdr:xfrm>
        <a:off x="6391440" y="3808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566"/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2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8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43.5" hidden="false" customHeight="true" outlineLevel="0" collapsed="false">
      <c r="A4" s="3" t="n">
        <f aca="false">'Vendas Mensais'!B23</f>
        <v>96211</v>
      </c>
      <c r="B4" s="3" t="n">
        <f aca="false">'Vendas Mensais'!C23</f>
        <v>94930</v>
      </c>
      <c r="C4" s="4" t="n">
        <f aca="false">'Vendas Mensais'!D23</f>
        <v>15375875.44</v>
      </c>
      <c r="D4" s="4" t="n">
        <f aca="false">'Vendas Mensais'!E23</f>
        <v>159.814111068381</v>
      </c>
      <c r="E4" s="3" t="n">
        <v>10</v>
      </c>
    </row>
    <row r="5" customFormat="false" ht="9.75" hidden="false" customHeight="true" outlineLevel="0" collapsed="false"/>
    <row r="7" customFormat="false" ht="15" hidden="false" customHeight="false" outlineLevel="0" collapsed="false">
      <c r="A7" s="5" t="s">
        <v>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8"/>
  </cols>
  <sheetData>
    <row r="1" customFormat="false" ht="30" hidden="false" customHeight="true" outlineLevel="0" collapsed="false">
      <c r="A1" s="6" t="s">
        <v>7</v>
      </c>
      <c r="B1" s="6"/>
      <c r="C1" s="6"/>
      <c r="D1" s="6"/>
      <c r="E1" s="6"/>
    </row>
    <row r="2" customFormat="false" ht="15" hidden="false" customHeight="false" outlineLevel="0" collapsed="false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</row>
    <row r="3" customFormat="false" ht="15" hidden="false" customHeight="false" outlineLevel="0" collapsed="false">
      <c r="A3" s="8" t="s">
        <v>13</v>
      </c>
      <c r="B3" s="9" t="n">
        <v>750</v>
      </c>
      <c r="C3" s="9" t="n">
        <v>718</v>
      </c>
      <c r="D3" s="9" t="n">
        <v>127545.67</v>
      </c>
      <c r="E3" s="9" t="n">
        <v>159.63</v>
      </c>
    </row>
    <row r="4" customFormat="false" ht="15" hidden="false" customHeight="false" outlineLevel="0" collapsed="false">
      <c r="A4" s="10" t="s">
        <v>14</v>
      </c>
      <c r="B4" s="11" t="n">
        <v>1653</v>
      </c>
      <c r="C4" s="11" t="n">
        <v>1630</v>
      </c>
      <c r="D4" s="11" t="n">
        <v>271298.65</v>
      </c>
      <c r="E4" s="11" t="n">
        <v>155.12</v>
      </c>
    </row>
    <row r="5" customFormat="false" ht="15" hidden="false" customHeight="false" outlineLevel="0" collapsed="false">
      <c r="A5" s="8" t="s">
        <v>15</v>
      </c>
      <c r="B5" s="9" t="n">
        <v>2546</v>
      </c>
      <c r="C5" s="9" t="n">
        <v>2508</v>
      </c>
      <c r="D5" s="9" t="n">
        <v>414369.39</v>
      </c>
      <c r="E5" s="9" t="n">
        <v>153.47</v>
      </c>
    </row>
    <row r="6" customFormat="false" ht="15" hidden="false" customHeight="false" outlineLevel="0" collapsed="false">
      <c r="A6" s="10" t="s">
        <v>16</v>
      </c>
      <c r="B6" s="11" t="n">
        <v>2303</v>
      </c>
      <c r="C6" s="11" t="n">
        <v>2274</v>
      </c>
      <c r="D6" s="11" t="n">
        <v>390952.18</v>
      </c>
      <c r="E6" s="11" t="n">
        <v>160.49</v>
      </c>
    </row>
    <row r="7" customFormat="false" ht="15" hidden="false" customHeight="false" outlineLevel="0" collapsed="false">
      <c r="A7" s="8" t="s">
        <v>17</v>
      </c>
      <c r="B7" s="9" t="n">
        <v>3546</v>
      </c>
      <c r="C7" s="9" t="n">
        <v>3479</v>
      </c>
      <c r="D7" s="9" t="n">
        <v>567066.73</v>
      </c>
      <c r="E7" s="9" t="n">
        <v>149.74</v>
      </c>
    </row>
    <row r="8" customFormat="false" ht="15" hidden="false" customHeight="false" outlineLevel="0" collapsed="false">
      <c r="A8" s="10" t="s">
        <v>18</v>
      </c>
      <c r="B8" s="11" t="n">
        <v>3135</v>
      </c>
      <c r="C8" s="11" t="n">
        <v>3076</v>
      </c>
      <c r="D8" s="11" t="n">
        <v>490225.6</v>
      </c>
      <c r="E8" s="11" t="n">
        <v>147.53</v>
      </c>
    </row>
    <row r="9" customFormat="false" ht="15" hidden="false" customHeight="false" outlineLevel="0" collapsed="false">
      <c r="A9" s="8" t="s">
        <v>19</v>
      </c>
      <c r="B9" s="9" t="n">
        <v>3872</v>
      </c>
      <c r="C9" s="9" t="n">
        <v>3802</v>
      </c>
      <c r="D9" s="9" t="n">
        <v>566403.93</v>
      </c>
      <c r="E9" s="9" t="n">
        <v>136.58</v>
      </c>
    </row>
    <row r="10" customFormat="false" ht="15" hidden="false" customHeight="false" outlineLevel="0" collapsed="false">
      <c r="A10" s="10" t="s">
        <v>20</v>
      </c>
      <c r="B10" s="11" t="n">
        <v>4193</v>
      </c>
      <c r="C10" s="11" t="n">
        <v>4114</v>
      </c>
      <c r="D10" s="11" t="n">
        <v>646000.61</v>
      </c>
      <c r="E10" s="11" t="n">
        <v>147.05</v>
      </c>
    </row>
    <row r="11" customFormat="false" ht="15" hidden="false" customHeight="false" outlineLevel="0" collapsed="false">
      <c r="A11" s="8" t="s">
        <v>21</v>
      </c>
      <c r="B11" s="9" t="n">
        <v>4150</v>
      </c>
      <c r="C11" s="9" t="n">
        <v>4083</v>
      </c>
      <c r="D11" s="9" t="n">
        <v>701169.99</v>
      </c>
      <c r="E11" s="9" t="n">
        <v>160.41</v>
      </c>
    </row>
    <row r="12" customFormat="false" ht="15" hidden="false" customHeight="false" outlineLevel="0" collapsed="false">
      <c r="A12" s="10" t="s">
        <v>22</v>
      </c>
      <c r="B12" s="11" t="n">
        <v>4478</v>
      </c>
      <c r="C12" s="11" t="n">
        <v>4417</v>
      </c>
      <c r="D12" s="11" t="n">
        <v>751140.27</v>
      </c>
      <c r="E12" s="11" t="n">
        <v>159.89</v>
      </c>
    </row>
    <row r="13" customFormat="false" ht="15" hidden="false" customHeight="false" outlineLevel="0" collapsed="false">
      <c r="A13" s="8" t="s">
        <v>23</v>
      </c>
      <c r="B13" s="9" t="n">
        <v>7289</v>
      </c>
      <c r="C13" s="9" t="n">
        <v>7183</v>
      </c>
      <c r="D13" s="9" t="n">
        <v>1153528.05</v>
      </c>
      <c r="E13" s="9" t="n">
        <v>151.92</v>
      </c>
    </row>
    <row r="14" customFormat="false" ht="15" hidden="false" customHeight="false" outlineLevel="0" collapsed="false">
      <c r="A14" s="10" t="s">
        <v>24</v>
      </c>
      <c r="B14" s="11" t="n">
        <v>5513</v>
      </c>
      <c r="C14" s="11" t="n">
        <v>5450</v>
      </c>
      <c r="D14" s="11" t="n">
        <v>843199.17</v>
      </c>
      <c r="E14" s="11" t="n">
        <v>147.18</v>
      </c>
    </row>
    <row r="15" customFormat="false" ht="15" hidden="false" customHeight="false" outlineLevel="0" collapsed="false">
      <c r="A15" s="8" t="s">
        <v>25</v>
      </c>
      <c r="B15" s="9" t="n">
        <v>7069</v>
      </c>
      <c r="C15" s="9" t="n">
        <v>6974</v>
      </c>
      <c r="D15" s="9" t="n">
        <v>1078606.86</v>
      </c>
      <c r="E15" s="9" t="n">
        <v>146.73</v>
      </c>
    </row>
    <row r="16" customFormat="false" ht="15" hidden="false" customHeight="false" outlineLevel="0" collapsed="false">
      <c r="A16" s="10" t="s">
        <v>26</v>
      </c>
      <c r="B16" s="11" t="n">
        <v>6555</v>
      </c>
      <c r="C16" s="11" t="n">
        <v>6400</v>
      </c>
      <c r="D16" s="11" t="n">
        <v>966510.88</v>
      </c>
      <c r="E16" s="11" t="n">
        <v>142.64</v>
      </c>
    </row>
    <row r="17" customFormat="false" ht="15" hidden="false" customHeight="false" outlineLevel="0" collapsed="false">
      <c r="A17" s="8" t="s">
        <v>27</v>
      </c>
      <c r="B17" s="9" t="n">
        <v>7003</v>
      </c>
      <c r="C17" s="9" t="n">
        <v>6914</v>
      </c>
      <c r="D17" s="9" t="n">
        <v>1120678</v>
      </c>
      <c r="E17" s="9" t="n">
        <v>153.58</v>
      </c>
    </row>
    <row r="18" customFormat="false" ht="15" hidden="false" customHeight="false" outlineLevel="0" collapsed="false">
      <c r="A18" s="10" t="s">
        <v>28</v>
      </c>
      <c r="B18" s="11" t="n">
        <v>6798</v>
      </c>
      <c r="C18" s="11" t="n">
        <v>6744</v>
      </c>
      <c r="D18" s="11" t="n">
        <v>1132933.95</v>
      </c>
      <c r="E18" s="11" t="n">
        <v>160.31</v>
      </c>
    </row>
    <row r="19" customFormat="false" ht="15" hidden="false" customHeight="false" outlineLevel="0" collapsed="false">
      <c r="A19" s="8" t="s">
        <v>29</v>
      </c>
      <c r="B19" s="9" t="n">
        <v>6749</v>
      </c>
      <c r="C19" s="9" t="n">
        <v>6693</v>
      </c>
      <c r="D19" s="9" t="n">
        <v>1128836.69</v>
      </c>
      <c r="E19" s="9" t="n">
        <v>161.22</v>
      </c>
    </row>
    <row r="20" customFormat="false" ht="15" hidden="false" customHeight="false" outlineLevel="0" collapsed="false">
      <c r="A20" s="10" t="s">
        <v>30</v>
      </c>
      <c r="B20" s="11" t="n">
        <v>6099</v>
      </c>
      <c r="C20" s="11" t="n">
        <v>6061</v>
      </c>
      <c r="D20" s="11" t="n">
        <v>1012090.68</v>
      </c>
      <c r="E20" s="11" t="n">
        <v>159.38</v>
      </c>
    </row>
    <row r="21" customFormat="false" ht="15" hidden="false" customHeight="false" outlineLevel="0" collapsed="false">
      <c r="A21" s="8" t="s">
        <v>31</v>
      </c>
      <c r="B21" s="9" t="n">
        <v>6159</v>
      </c>
      <c r="C21" s="9" t="n">
        <v>6100</v>
      </c>
      <c r="D21" s="9" t="n">
        <v>1027903.86</v>
      </c>
      <c r="E21" s="9" t="n">
        <v>161.37</v>
      </c>
    </row>
    <row r="22" customFormat="false" ht="15" hidden="false" customHeight="false" outlineLevel="0" collapsed="false">
      <c r="A22" s="10" t="s">
        <v>32</v>
      </c>
      <c r="B22" s="11" t="n">
        <v>6351</v>
      </c>
      <c r="C22" s="11" t="n">
        <v>6310</v>
      </c>
      <c r="D22" s="11" t="n">
        <v>985414.28</v>
      </c>
      <c r="E22" s="11" t="n">
        <v>150.79</v>
      </c>
    </row>
    <row r="23" customFormat="false" ht="15" hidden="false" customHeight="false" outlineLevel="0" collapsed="false">
      <c r="A23" s="12" t="s">
        <v>33</v>
      </c>
      <c r="B23" s="13" t="n">
        <f aca="false">SUM(B3:B22)</f>
        <v>96211</v>
      </c>
      <c r="C23" s="13" t="n">
        <f aca="false">SUM(C3:C22)</f>
        <v>94930</v>
      </c>
      <c r="D23" s="14" t="n">
        <f aca="false">SUM(D3:D22)</f>
        <v>15375875.44</v>
      </c>
      <c r="E23" s="14" t="n">
        <f aca="false">D23/B23</f>
        <v>159.814111068381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6" t="s">
        <v>34</v>
      </c>
      <c r="B1" s="6"/>
      <c r="C1" s="6"/>
      <c r="D1" s="6"/>
      <c r="E1" s="6"/>
    </row>
    <row r="2" customFormat="false" ht="15" hidden="false" customHeight="false" outlineLevel="0" collapsed="false">
      <c r="A2" s="7" t="s">
        <v>35</v>
      </c>
      <c r="B2" s="7" t="s">
        <v>9</v>
      </c>
      <c r="C2" s="7" t="s">
        <v>11</v>
      </c>
      <c r="D2" s="7" t="s">
        <v>36</v>
      </c>
      <c r="E2" s="7" t="s">
        <v>37</v>
      </c>
    </row>
    <row r="3" customFormat="false" ht="15" hidden="false" customHeight="false" outlineLevel="0" collapsed="false">
      <c r="A3" s="8" t="s">
        <v>38</v>
      </c>
      <c r="B3" s="9" t="n">
        <v>8647</v>
      </c>
      <c r="C3" s="9" t="n">
        <v>1237538.95</v>
      </c>
      <c r="D3" s="9" t="n">
        <v>129.99</v>
      </c>
      <c r="E3" s="9" t="n">
        <v>4.18</v>
      </c>
    </row>
    <row r="4" customFormat="false" ht="15" hidden="false" customHeight="false" outlineLevel="0" collapsed="false">
      <c r="A4" s="10" t="s">
        <v>39</v>
      </c>
      <c r="B4" s="11" t="n">
        <v>5495</v>
      </c>
      <c r="C4" s="11" t="n">
        <v>1167246.63</v>
      </c>
      <c r="D4" s="11" t="n">
        <v>198.88</v>
      </c>
      <c r="E4" s="11" t="n">
        <v>4.06</v>
      </c>
    </row>
    <row r="5" customFormat="false" ht="15" hidden="false" customHeight="false" outlineLevel="0" collapsed="false">
      <c r="A5" s="8" t="s">
        <v>40</v>
      </c>
      <c r="B5" s="9" t="n">
        <v>9272</v>
      </c>
      <c r="C5" s="9" t="n">
        <v>1037326.58</v>
      </c>
      <c r="D5" s="9" t="n">
        <v>93.38</v>
      </c>
      <c r="E5" s="9" t="n">
        <v>3.9</v>
      </c>
    </row>
    <row r="6" customFormat="false" ht="15" hidden="false" customHeight="false" outlineLevel="0" collapsed="false">
      <c r="A6" s="10" t="s">
        <v>41</v>
      </c>
      <c r="B6" s="11" t="n">
        <v>7530</v>
      </c>
      <c r="C6" s="11" t="n">
        <v>960217.09</v>
      </c>
      <c r="D6" s="11" t="n">
        <v>113.1</v>
      </c>
      <c r="E6" s="11" t="n">
        <v>4.15</v>
      </c>
    </row>
    <row r="7" customFormat="false" ht="15" hidden="false" customHeight="false" outlineLevel="0" collapsed="false">
      <c r="A7" s="8" t="s">
        <v>42</v>
      </c>
      <c r="B7" s="9" t="n">
        <v>6530</v>
      </c>
      <c r="C7" s="9" t="n">
        <v>896324.18</v>
      </c>
      <c r="D7" s="9" t="n">
        <v>116.27</v>
      </c>
      <c r="E7" s="9" t="n">
        <v>3.98</v>
      </c>
    </row>
    <row r="8" customFormat="false" ht="15" hidden="false" customHeight="false" outlineLevel="0" collapsed="false">
      <c r="A8" s="10" t="s">
        <v>43</v>
      </c>
      <c r="B8" s="11" t="n">
        <v>6307</v>
      </c>
      <c r="C8" s="11" t="n">
        <v>718744.77</v>
      </c>
      <c r="D8" s="11" t="n">
        <v>87.23</v>
      </c>
      <c r="E8" s="11" t="n">
        <v>3.93</v>
      </c>
    </row>
    <row r="9" customFormat="false" ht="15" hidden="false" customHeight="false" outlineLevel="0" collapsed="false">
      <c r="A9" s="8" t="s">
        <v>44</v>
      </c>
      <c r="B9" s="9" t="n">
        <v>5743</v>
      </c>
      <c r="C9" s="9" t="n">
        <v>617836.73</v>
      </c>
      <c r="D9" s="9" t="n">
        <v>90.61</v>
      </c>
      <c r="E9" s="9" t="n">
        <v>4.1</v>
      </c>
    </row>
    <row r="10" customFormat="false" ht="15" hidden="false" customHeight="false" outlineLevel="0" collapsed="false">
      <c r="A10" s="10" t="s">
        <v>45</v>
      </c>
      <c r="B10" s="11" t="n">
        <v>3559</v>
      </c>
      <c r="C10" s="11" t="n">
        <v>612071.86</v>
      </c>
      <c r="D10" s="11" t="n">
        <v>164.23</v>
      </c>
      <c r="E10" s="11" t="n">
        <v>4.18</v>
      </c>
    </row>
    <row r="11" customFormat="false" ht="15" hidden="false" customHeight="false" outlineLevel="0" collapsed="false">
      <c r="A11" s="8" t="s">
        <v>46</v>
      </c>
      <c r="B11" s="9" t="n">
        <v>3810</v>
      </c>
      <c r="C11" s="9" t="n">
        <v>580263.44</v>
      </c>
      <c r="D11" s="9" t="n">
        <v>139.55</v>
      </c>
      <c r="E11" s="9" t="n">
        <v>4.09</v>
      </c>
    </row>
    <row r="12" customFormat="false" ht="15" hidden="false" customHeight="false" outlineLevel="0" collapsed="false">
      <c r="A12" s="10" t="s">
        <v>47</v>
      </c>
      <c r="B12" s="11" t="n">
        <v>3804</v>
      </c>
      <c r="C12" s="11" t="n">
        <v>472109.78</v>
      </c>
      <c r="D12" s="11" t="n">
        <v>116.92</v>
      </c>
      <c r="E12" s="11" t="n">
        <v>4.19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0"/>
  </cols>
  <sheetData>
    <row r="1" customFormat="false" ht="30" hidden="false" customHeight="true" outlineLevel="0" collapsed="false">
      <c r="A1" s="6" t="s">
        <v>48</v>
      </c>
      <c r="B1" s="6"/>
      <c r="C1" s="6"/>
      <c r="D1" s="6"/>
    </row>
    <row r="2" customFormat="false" ht="15" hidden="false" customHeight="false" outlineLevel="0" collapsed="false">
      <c r="A2" s="7" t="s">
        <v>49</v>
      </c>
      <c r="B2" s="7" t="s">
        <v>50</v>
      </c>
      <c r="C2" s="7" t="s">
        <v>51</v>
      </c>
      <c r="D2" s="7" t="s">
        <v>52</v>
      </c>
    </row>
    <row r="3" customFormat="false" ht="15" hidden="false" customHeight="false" outlineLevel="0" collapsed="false">
      <c r="A3" s="8" t="s">
        <v>53</v>
      </c>
      <c r="B3" s="9" t="n">
        <v>76505</v>
      </c>
      <c r="C3" s="9" t="n">
        <v>12542084.19</v>
      </c>
      <c r="D3" s="9" t="n">
        <v>3.5</v>
      </c>
    </row>
    <row r="4" customFormat="false" ht="15" hidden="false" customHeight="false" outlineLevel="0" collapsed="false">
      <c r="A4" s="10" t="s">
        <v>54</v>
      </c>
      <c r="B4" s="11" t="n">
        <v>19784</v>
      </c>
      <c r="C4" s="11" t="n">
        <v>2869361.27</v>
      </c>
      <c r="D4" s="11" t="n">
        <v>1</v>
      </c>
    </row>
    <row r="5" customFormat="false" ht="15" hidden="false" customHeight="false" outlineLevel="0" collapsed="false">
      <c r="A5" s="8" t="s">
        <v>55</v>
      </c>
      <c r="B5" s="9" t="n">
        <v>3866</v>
      </c>
      <c r="C5" s="9" t="n">
        <v>379436.87</v>
      </c>
      <c r="D5" s="9" t="n">
        <v>1</v>
      </c>
    </row>
    <row r="6" customFormat="false" ht="15" hidden="false" customHeight="false" outlineLevel="0" collapsed="false">
      <c r="A6" s="10" t="s">
        <v>56</v>
      </c>
      <c r="B6" s="11" t="n">
        <v>1528</v>
      </c>
      <c r="C6" s="11" t="n">
        <v>217989.79</v>
      </c>
      <c r="D6" s="11" t="n">
        <v>1</v>
      </c>
    </row>
    <row r="7" customFormat="false" ht="15" hidden="false" customHeight="false" outlineLevel="0" collapsed="false">
      <c r="A7" s="8" t="s">
        <v>57</v>
      </c>
      <c r="B7" s="9" t="n">
        <v>3</v>
      </c>
      <c r="C7" s="9" t="n">
        <v>0</v>
      </c>
      <c r="D7" s="9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</cols>
  <sheetData>
    <row r="1" customFormat="false" ht="30" hidden="false" customHeight="true" outlineLevel="0" collapsed="false">
      <c r="A1" s="6" t="s">
        <v>58</v>
      </c>
      <c r="B1" s="6"/>
      <c r="C1" s="6"/>
      <c r="D1" s="6"/>
      <c r="E1" s="6"/>
    </row>
    <row r="2" customFormat="false" ht="15" hidden="false" customHeight="false" outlineLevel="0" collapsed="false">
      <c r="A2" s="7" t="s">
        <v>59</v>
      </c>
      <c r="B2" s="7" t="s">
        <v>9</v>
      </c>
      <c r="C2" s="7" t="s">
        <v>10</v>
      </c>
      <c r="D2" s="7" t="s">
        <v>11</v>
      </c>
      <c r="E2" s="7" t="s">
        <v>12</v>
      </c>
    </row>
    <row r="3" customFormat="false" ht="15" hidden="false" customHeight="false" outlineLevel="0" collapsed="false">
      <c r="A3" s="8" t="s">
        <v>60</v>
      </c>
      <c r="B3" s="9" t="n">
        <v>40500</v>
      </c>
      <c r="C3" s="9" t="n">
        <v>39155</v>
      </c>
      <c r="D3" s="9" t="n">
        <v>5770266.19</v>
      </c>
      <c r="E3" s="9" t="n">
        <v>136.39</v>
      </c>
    </row>
    <row r="4" customFormat="false" ht="15" hidden="false" customHeight="false" outlineLevel="0" collapsed="false">
      <c r="A4" s="10" t="s">
        <v>61</v>
      </c>
      <c r="B4" s="11" t="n">
        <v>12350</v>
      </c>
      <c r="C4" s="11" t="n">
        <v>11917</v>
      </c>
      <c r="D4" s="11" t="n">
        <v>2055690.45</v>
      </c>
      <c r="E4" s="11" t="n">
        <v>158.08</v>
      </c>
    </row>
    <row r="5" customFormat="false" ht="15" hidden="false" customHeight="false" outlineLevel="0" collapsed="false">
      <c r="A5" s="8" t="s">
        <v>62</v>
      </c>
      <c r="B5" s="9" t="n">
        <v>11354</v>
      </c>
      <c r="C5" s="9" t="n">
        <v>11001</v>
      </c>
      <c r="D5" s="9" t="n">
        <v>1819277.61</v>
      </c>
      <c r="E5" s="9" t="n">
        <v>154.12</v>
      </c>
    </row>
    <row r="6" customFormat="false" ht="15" hidden="false" customHeight="false" outlineLevel="0" collapsed="false">
      <c r="A6" s="10" t="s">
        <v>63</v>
      </c>
      <c r="B6" s="11" t="n">
        <v>5345</v>
      </c>
      <c r="C6" s="11" t="n">
        <v>5168</v>
      </c>
      <c r="D6" s="11" t="n">
        <v>861802.4</v>
      </c>
      <c r="E6" s="11" t="n">
        <v>155.45</v>
      </c>
    </row>
    <row r="7" customFormat="false" ht="15" hidden="false" customHeight="false" outlineLevel="0" collapsed="false">
      <c r="A7" s="8" t="s">
        <v>64</v>
      </c>
      <c r="B7" s="9" t="n">
        <v>4923</v>
      </c>
      <c r="C7" s="9" t="n">
        <v>4769</v>
      </c>
      <c r="D7" s="9" t="n">
        <v>781919.55</v>
      </c>
      <c r="E7" s="9" t="n">
        <v>152.45</v>
      </c>
    </row>
    <row r="8" customFormat="false" ht="15" hidden="false" customHeight="false" outlineLevel="0" collapsed="false">
      <c r="A8" s="10" t="s">
        <v>65</v>
      </c>
      <c r="B8" s="11" t="n">
        <v>3546</v>
      </c>
      <c r="C8" s="11" t="n">
        <v>3449</v>
      </c>
      <c r="D8" s="11" t="n">
        <v>595208.4</v>
      </c>
      <c r="E8" s="11" t="n">
        <v>162.58</v>
      </c>
    </row>
    <row r="9" customFormat="false" ht="15" hidden="false" customHeight="false" outlineLevel="0" collapsed="false">
      <c r="A9" s="8" t="s">
        <v>66</v>
      </c>
      <c r="B9" s="9" t="n">
        <v>3256</v>
      </c>
      <c r="C9" s="9" t="n">
        <v>3158</v>
      </c>
      <c r="D9" s="9" t="n">
        <v>591270.6</v>
      </c>
      <c r="E9" s="9" t="n">
        <v>169.76</v>
      </c>
    </row>
    <row r="10" customFormat="false" ht="15" hidden="false" customHeight="false" outlineLevel="0" collapsed="false">
      <c r="A10" s="10" t="s">
        <v>67</v>
      </c>
      <c r="B10" s="11" t="n">
        <v>2080</v>
      </c>
      <c r="C10" s="11" t="n">
        <v>2019</v>
      </c>
      <c r="D10" s="11" t="n">
        <v>346146.17</v>
      </c>
      <c r="E10" s="11" t="n">
        <v>161.6</v>
      </c>
    </row>
    <row r="11" customFormat="false" ht="15" hidden="false" customHeight="false" outlineLevel="0" collapsed="false">
      <c r="A11" s="8" t="s">
        <v>68</v>
      </c>
      <c r="B11" s="9" t="n">
        <v>1995</v>
      </c>
      <c r="C11" s="9" t="n">
        <v>1928</v>
      </c>
      <c r="D11" s="9" t="n">
        <v>317682.65</v>
      </c>
      <c r="E11" s="9" t="n">
        <v>153.62</v>
      </c>
    </row>
    <row r="12" customFormat="false" ht="15" hidden="false" customHeight="false" outlineLevel="0" collapsed="false">
      <c r="A12" s="10" t="s">
        <v>69</v>
      </c>
      <c r="B12" s="11" t="n">
        <v>1957</v>
      </c>
      <c r="C12" s="11" t="n">
        <v>1895</v>
      </c>
      <c r="D12" s="11" t="n">
        <v>334294.22</v>
      </c>
      <c r="E12" s="11" t="n">
        <v>163.31</v>
      </c>
    </row>
    <row r="13" customFormat="false" ht="15" hidden="false" customHeight="false" outlineLevel="0" collapsed="false">
      <c r="A13" s="8" t="s">
        <v>70</v>
      </c>
      <c r="B13" s="9" t="n">
        <v>1593</v>
      </c>
      <c r="C13" s="9" t="n">
        <v>1551</v>
      </c>
      <c r="D13" s="9" t="n">
        <v>309074.59</v>
      </c>
      <c r="E13" s="9" t="n">
        <v>185.41</v>
      </c>
    </row>
    <row r="14" customFormat="false" ht="15" hidden="false" customHeight="false" outlineLevel="0" collapsed="false">
      <c r="A14" s="10" t="s">
        <v>71</v>
      </c>
      <c r="B14" s="11" t="n">
        <v>1279</v>
      </c>
      <c r="C14" s="11" t="n">
        <v>1258</v>
      </c>
      <c r="D14" s="11" t="n">
        <v>266463.97</v>
      </c>
      <c r="E14" s="11" t="n">
        <v>198.71</v>
      </c>
    </row>
    <row r="15" customFormat="false" ht="15" hidden="false" customHeight="false" outlineLevel="0" collapsed="false">
      <c r="A15" s="8" t="s">
        <v>72</v>
      </c>
      <c r="B15" s="9" t="n">
        <v>946</v>
      </c>
      <c r="C15" s="9" t="n">
        <v>922</v>
      </c>
      <c r="D15" s="9" t="n">
        <v>212027.55</v>
      </c>
      <c r="E15" s="9" t="n">
        <v>216.13</v>
      </c>
    </row>
    <row r="16" customFormat="false" ht="15" hidden="false" customHeight="false" outlineLevel="0" collapsed="false">
      <c r="A16" s="10" t="s">
        <v>73</v>
      </c>
      <c r="B16" s="11" t="n">
        <v>886</v>
      </c>
      <c r="C16" s="11" t="n">
        <v>856</v>
      </c>
      <c r="D16" s="11" t="n">
        <v>181441.72</v>
      </c>
      <c r="E16" s="11" t="n">
        <v>199.61</v>
      </c>
    </row>
    <row r="17" customFormat="false" ht="15" hidden="false" customHeight="false" outlineLevel="0" collapsed="false">
      <c r="A17" s="8" t="s">
        <v>74</v>
      </c>
      <c r="B17" s="9" t="n">
        <v>717</v>
      </c>
      <c r="C17" s="9" t="n">
        <v>700</v>
      </c>
      <c r="D17" s="9" t="n">
        <v>147807.29</v>
      </c>
      <c r="E17" s="9" t="n">
        <v>201.1</v>
      </c>
    </row>
    <row r="18" customFormat="false" ht="15" hidden="false" customHeight="false" outlineLevel="0" collapsed="false">
      <c r="A18" s="10" t="s">
        <v>75</v>
      </c>
      <c r="B18" s="11" t="n">
        <v>701</v>
      </c>
      <c r="C18" s="11" t="n">
        <v>681</v>
      </c>
      <c r="D18" s="11" t="n">
        <v>134421.54</v>
      </c>
      <c r="E18" s="11" t="n">
        <v>186.18</v>
      </c>
    </row>
    <row r="19" customFormat="false" ht="15" hidden="false" customHeight="false" outlineLevel="0" collapsed="false">
      <c r="A19" s="8" t="s">
        <v>76</v>
      </c>
      <c r="B19" s="9" t="n">
        <v>517</v>
      </c>
      <c r="C19" s="9" t="n">
        <v>504</v>
      </c>
      <c r="D19" s="9" t="n">
        <v>137834.65</v>
      </c>
      <c r="E19" s="9" t="n">
        <v>250.15</v>
      </c>
    </row>
    <row r="20" customFormat="false" ht="15" hidden="false" customHeight="false" outlineLevel="0" collapsed="false">
      <c r="A20" s="10" t="s">
        <v>77</v>
      </c>
      <c r="B20" s="11" t="n">
        <v>476</v>
      </c>
      <c r="C20" s="11" t="n">
        <v>464</v>
      </c>
      <c r="D20" s="11" t="n">
        <v>105272.17</v>
      </c>
      <c r="E20" s="11" t="n">
        <v>208.87</v>
      </c>
    </row>
    <row r="21" customFormat="false" ht="15" hidden="false" customHeight="false" outlineLevel="0" collapsed="false">
      <c r="A21" s="8" t="s">
        <v>78</v>
      </c>
      <c r="B21" s="9" t="n">
        <v>474</v>
      </c>
      <c r="C21" s="9" t="n">
        <v>464</v>
      </c>
      <c r="D21" s="9" t="n">
        <v>100728.3</v>
      </c>
      <c r="E21" s="9" t="n">
        <v>197.12</v>
      </c>
    </row>
    <row r="22" customFormat="false" ht="15" hidden="false" customHeight="false" outlineLevel="0" collapsed="false">
      <c r="A22" s="10" t="s">
        <v>79</v>
      </c>
      <c r="B22" s="11" t="n">
        <v>397</v>
      </c>
      <c r="C22" s="11" t="n">
        <v>387</v>
      </c>
      <c r="D22" s="11" t="n">
        <v>94195.79</v>
      </c>
      <c r="E22" s="11" t="n">
        <v>229.19</v>
      </c>
    </row>
    <row r="23" customFormat="false" ht="15" hidden="false" customHeight="false" outlineLevel="0" collapsed="false">
      <c r="A23" s="8" t="s">
        <v>80</v>
      </c>
      <c r="B23" s="9" t="n">
        <v>335</v>
      </c>
      <c r="C23" s="9" t="n">
        <v>329</v>
      </c>
      <c r="D23" s="9" t="n">
        <v>70289.13</v>
      </c>
      <c r="E23" s="9" t="n">
        <v>204.33</v>
      </c>
    </row>
    <row r="24" customFormat="false" ht="15" hidden="false" customHeight="false" outlineLevel="0" collapsed="false">
      <c r="A24" s="10" t="s">
        <v>81</v>
      </c>
      <c r="B24" s="11" t="n">
        <v>274</v>
      </c>
      <c r="C24" s="11" t="n">
        <v>267</v>
      </c>
      <c r="D24" s="11" t="n">
        <v>60007.37</v>
      </c>
      <c r="E24" s="11" t="n">
        <v>203.41</v>
      </c>
    </row>
    <row r="25" customFormat="false" ht="15" hidden="false" customHeight="false" outlineLevel="0" collapsed="false">
      <c r="A25" s="8" t="s">
        <v>82</v>
      </c>
      <c r="B25" s="9" t="n">
        <v>243</v>
      </c>
      <c r="C25" s="9" t="n">
        <v>231</v>
      </c>
      <c r="D25" s="9" t="n">
        <v>56975.7</v>
      </c>
      <c r="E25" s="9" t="n">
        <v>226.99</v>
      </c>
    </row>
    <row r="26" customFormat="false" ht="15" hidden="false" customHeight="false" outlineLevel="0" collapsed="false">
      <c r="A26" s="10" t="s">
        <v>83</v>
      </c>
      <c r="B26" s="11" t="n">
        <v>145</v>
      </c>
      <c r="C26" s="11" t="n">
        <v>140</v>
      </c>
      <c r="D26" s="11" t="n">
        <v>27596.18</v>
      </c>
      <c r="E26" s="11" t="n">
        <v>182.76</v>
      </c>
    </row>
    <row r="27" customFormat="false" ht="15" hidden="false" customHeight="false" outlineLevel="0" collapsed="false">
      <c r="A27" s="8" t="s">
        <v>84</v>
      </c>
      <c r="B27" s="9" t="n">
        <v>80</v>
      </c>
      <c r="C27" s="9" t="n">
        <v>76</v>
      </c>
      <c r="D27" s="9" t="n">
        <v>19586.25</v>
      </c>
      <c r="E27" s="9" t="n">
        <v>235.98</v>
      </c>
    </row>
    <row r="28" customFormat="false" ht="15" hidden="false" customHeight="false" outlineLevel="0" collapsed="false">
      <c r="A28" s="10" t="s">
        <v>85</v>
      </c>
      <c r="B28" s="11" t="n">
        <v>67</v>
      </c>
      <c r="C28" s="11" t="n">
        <v>66</v>
      </c>
      <c r="D28" s="11" t="n">
        <v>16141.81</v>
      </c>
      <c r="E28" s="11" t="n">
        <v>233.94</v>
      </c>
    </row>
    <row r="29" customFormat="false" ht="15" hidden="false" customHeight="false" outlineLevel="0" collapsed="false">
      <c r="A29" s="8" t="s">
        <v>86</v>
      </c>
      <c r="B29" s="9" t="n">
        <v>41</v>
      </c>
      <c r="C29" s="9" t="n">
        <v>40</v>
      </c>
      <c r="D29" s="9" t="n">
        <v>9039.52</v>
      </c>
      <c r="E29" s="9" t="n">
        <v>220.48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2026-06-22T18:25:12Z</dcterms:created>
  <dc:creator>openpyxl</dc:creator>
  <dc:description/>
  <dc:language>en-US</dc:language>
  <cp:lastModifiedBy/>
  <dcterms:modified xsi:type="dcterms:W3CDTF">2026-06-22T18:25:23Z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